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9a41264c6dff78d/Desktop/IBM/"/>
    </mc:Choice>
  </mc:AlternateContent>
  <xr:revisionPtr revIDLastSave="0" documentId="8_{0D96B5C4-C8C6-465B-AAC8-E1344FA22B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 Regi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<sst xmlns="http://schemas.openxmlformats.org/spreadsheetml/2006/main" count="93" uniqueCount="87">
  <si>
    <t>Project:  AHI Real-Time Marketing Data Application Project</t>
  </si>
  <si>
    <t>Date:       April 20XX – November 20XX</t>
  </si>
  <si>
    <t>#</t>
  </si>
  <si>
    <t>Cause
(condition/situation)</t>
  </si>
  <si>
    <t>Event</t>
  </si>
  <si>
    <t>Impact</t>
  </si>
  <si>
    <t>Risk owner</t>
  </si>
  <si>
    <t>Category</t>
  </si>
  <si>
    <t>Probability
risk rating</t>
  </si>
  <si>
    <t>Impact risk
rating</t>
  </si>
  <si>
    <t>Risk score</t>
  </si>
  <si>
    <t>Trigger</t>
  </si>
  <si>
    <t>Response</t>
  </si>
  <si>
    <t>Complex analytical and e-commerce requirements exceeding initial development estimates or unforeseen integration costs</t>
  </si>
  <si>
    <t>Project exceeds the approved $250,000 fixed budget</t>
  </si>
  <si>
    <t>Reduced Year 1 ROI below the 20% target; potential financial shortfall and executive sponsor scrutiny</t>
  </si>
  <si>
    <t>Oscar Money / Cary Manning</t>
  </si>
  <si>
    <t>Financial</t>
  </si>
  <si>
    <t>Monthly burn-rate analysis shows cost variance (CV) &gt; 5% or vendor invoices exceeding milestone caps</t>
  </si>
  <si>
    <t>Mitigate: Implement strict EVM and milestone-based vendor payments. Contingency: De-scope Version 2 secondary features to protect core budget.</t>
  </si>
  <si>
    <t>Inadequate initial requirement definition or insufficient stakeholder and focus-group feedback during UI/UX prototyping</t>
  </si>
  <si>
    <t>Application design flaws and usability defects identified late</t>
  </si>
  <si>
    <t>Delays in app launch, negative user adoption, and increased rework expenses</t>
  </si>
  <si>
    <t>Cal Hamer (Product Owner)</t>
  </si>
  <si>
    <t>Technical / Scope</t>
  </si>
  <si>
    <t>Negative feedback during sprint reviews or high rejection rate (&gt;10%) during initial design reviews</t>
  </si>
  <si>
    <t>Mitigate: Conduct iterative design reviews with Marketing SMEs. Contingency: Utilize the 3-day Design phase buffer for rapid UI/UX patching.</t>
  </si>
  <si>
    <t>Underestimating the complexity of real-time data streaming, sentiment analysis, and multi-system integration</t>
  </si>
  <si>
    <t>Development schedule slippage and missed sprint deadlines</t>
  </si>
  <si>
    <t>Delays the planned October go-live, missing peak skincare industry market opportunities</t>
  </si>
  <si>
    <t>Cary Manning (Project Manager)</t>
  </si>
  <si>
    <t>Schedule</t>
  </si>
  <si>
    <t>Sprint burndown charts falling &gt; 15% behind planned velocity for two consecutive sprints</t>
  </si>
  <si>
    <t>Mitigate: Run 2-week Agile sprints with MVP prioritization and schedule buffers. Contingency: Reallocate senior dev resources to critical path tasks.</t>
  </si>
  <si>
    <t>Existing server hardware, network bandwidth, and database storage unable to handle real-time data streaming loads</t>
  </si>
  <si>
    <t>IT infrastructure performance bottlenecks and system crashes</t>
  </si>
  <si>
    <t>Reduced ROI, app launch delays, poor customer experience, and transaction failures</t>
  </si>
  <si>
    <t>Priya Service (IT Lead)</t>
  </si>
  <si>
    <t>Technical / IT</t>
  </si>
  <si>
    <t>Server CPU utilization &gt; 80% or query latency exceeding 3 seconds during integration testing</t>
  </si>
  <si>
    <t>Mitigate: Execute $30k HW/SW and storage upgrades during Dev/Test phases. Contingency: Provision scalable cloud overflow capacity.</t>
  </si>
  <si>
    <t>Internal IT and marketing teams lack specialized mobile app development and real-time analytics engineering skills</t>
  </si>
  <si>
    <t>Insufficient internal development capacity to build the app in-house</t>
  </si>
  <si>
    <t>Severe development bottlenecks, quality compromises, and launch delays</t>
  </si>
  <si>
    <t>Cary Manning / Cal Hamer</t>
  </si>
  <si>
    <t>Resource / HR</t>
  </si>
  <si>
    <t>Resource allocation conflicts or lack of qualified developers assigned during Design phase</t>
  </si>
  <si>
    <t>Mitigate: Contract an experienced external development vendor ($180k budget). Contingency: Onboard external contractor specialists immediately.</t>
  </si>
  <si>
    <t>External e-commerce transaction vulnerabilities or insecure customer data storage</t>
  </si>
  <si>
    <t>Data breach, unauthorized access, or non-compliance with payment security standards</t>
  </si>
  <si>
    <t>Legal liability, financial penalties, brand reputation damage, and customer loss</t>
  </si>
  <si>
    <t>Security</t>
  </si>
  <si>
    <t>Security audit failure or critical vulnerabilities flagged during Test phase penetration testing</t>
  </si>
  <si>
    <t>Mitigate: Invest $20k in app security upgrades and encryption. Contingency: Deploy immediate security patches and isolate affected services.</t>
  </si>
  <si>
    <t>Third-party data vendors fail to deliver reliable, real-time market and competitive sales data feeds</t>
  </si>
  <si>
    <t>Data feed outages, high latency, or corrupted industry metrics</t>
  </si>
  <si>
    <t>Inaccurate market share analytics and delayed marketing strategic decisions</t>
  </si>
  <si>
    <t>Priya Service / Ram Samuels</t>
  </si>
  <si>
    <t>Operational</t>
  </si>
  <si>
    <t>Data feed downtime &gt; 1 hour or automated schema mismatch alerts triggered</t>
  </si>
  <si>
    <t>Mitigate: Establish strict vendor SLAs under the $5k data feed contract. Contingency: Implement local caching to display latest validated data.</t>
  </si>
  <si>
    <t>Marketing personnel and internal stakeholders receive insufficient training on new analytics tools</t>
  </si>
  <si>
    <t>Low user adoption and improper utilization of the real-time app</t>
  </si>
  <si>
    <t>Delayed realization of business benefits and reduced operational efficiency</t>
  </si>
  <si>
    <t>Ram Samuels (Marketing Director)</t>
  </si>
  <si>
    <t>Operational / Training</t>
  </si>
  <si>
    <t>User training attendance &lt; 80% or low daily active users post-launch</t>
  </si>
  <si>
    <t>Mitigate: Conduct mandatory hands-on training workshops in October. Contingency: Deploy the 2 new IT technicians for dedicated desk-side support.</t>
  </si>
  <si>
    <t>Total Risk Score</t>
  </si>
  <si>
    <t>Risk Exposure: Moderate to High</t>
  </si>
  <si>
    <t>Probability risk rating</t>
  </si>
  <si>
    <t>Impact risk rating</t>
  </si>
  <si>
    <t>5: High</t>
  </si>
  <si>
    <t>80% - 100%</t>
  </si>
  <si>
    <t>Major project failure / &gt; $50k variance</t>
  </si>
  <si>
    <t>4: High to moderate</t>
  </si>
  <si>
    <t>60% - 79%</t>
  </si>
  <si>
    <t>Significant schedule delay / budget impact</t>
  </si>
  <si>
    <t>3: Moderate</t>
  </si>
  <si>
    <t>40% - 59%</t>
  </si>
  <si>
    <t>Moderate delay / manageable cost impact</t>
  </si>
  <si>
    <t>2: Moderate to low</t>
  </si>
  <si>
    <t>20% - 39%</t>
  </si>
  <si>
    <t>Minor inconvenience / low rework</t>
  </si>
  <si>
    <t>1: Low</t>
  </si>
  <si>
    <t>&lt; 20%</t>
  </si>
  <si>
    <t>Negligible operational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</si>
</sst>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name val="Calibri"/>
    </font>
    <font>
      <sz val="9.5"/>
      <name val="Calibri"/>
    </font>
    <font>
      <b/>
      <sz val="9.5"/>
      <name val="Calibri"/>
    </font>
    <font>
      <b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1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sqref="A1:K1"/>
    </sheetView>
  </sheetViews>
  <sheetFormatPr defaultRowHeight="14.4" x14ac:dyDescent="0.3"/>
  <cols>
    <col min="1" max="1" width="6" customWidth="1"/>
    <col min="2" max="2" width="28" customWidth="1"/>
    <col min="3" max="4" width="26" customWidth="1"/>
    <col min="5" max="5" width="20" customWidth="1"/>
    <col min="6" max="6" width="16" customWidth="1"/>
    <col min="7" max="8" width="14" customWidth="1"/>
    <col min="9" max="9" width="12" customWidth="1"/>
    <col min="10" max="10" width="26" customWidth="1"/>
    <col min="11" max="11" width="32" customWidth="1"/>
  </cols>
  <sheetData>
    <row r="1" spans="1:11" ht="24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4" customHeigh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36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55.05" customHeight="1" x14ac:dyDescent="0.3">
      <c r="A4" s="2">
        <v>1</v>
      </c>
      <c r="B4" s="3" t="s">
        <v>13</v>
      </c>
      <c r="C4" s="3" t="s">
        <v>14</v>
      </c>
      <c r="D4" s="3" t="s">
        <v>15</v>
      </c>
      <c r="E4" s="4" t="s">
        <v>16</v>
      </c>
      <c r="F4" s="4" t="s">
        <v>17</v>
      </c>
      <c r="G4" s="2">
        <v>3</v>
      </c>
      <c r="H4" s="2">
        <v>4</v>
      </c>
      <c r="I4" s="5">
        <f t="shared" ref="I4:I11" si="0">G4*H4</f>
        <v>12</v>
      </c>
      <c r="J4" s="3" t="s">
        <v>18</v>
      </c>
      <c r="K4" s="3" t="s">
        <v>19</v>
      </c>
    </row>
    <row r="5" spans="1:11" ht="55.05" customHeight="1" x14ac:dyDescent="0.3">
      <c r="A5" s="2">
        <v>2</v>
      </c>
      <c r="B5" s="3" t="s">
        <v>20</v>
      </c>
      <c r="C5" s="3" t="s">
        <v>21</v>
      </c>
      <c r="D5" s="3" t="s">
        <v>22</v>
      </c>
      <c r="E5" s="4" t="s">
        <v>23</v>
      </c>
      <c r="F5" s="4" t="s">
        <v>24</v>
      </c>
      <c r="G5" s="2">
        <v>3</v>
      </c>
      <c r="H5" s="2">
        <v>4</v>
      </c>
      <c r="I5" s="5">
        <f t="shared" si="0"/>
        <v>12</v>
      </c>
      <c r="J5" s="3" t="s">
        <v>25</v>
      </c>
      <c r="K5" s="3" t="s">
        <v>26</v>
      </c>
    </row>
    <row r="6" spans="1:11" ht="55.05" customHeight="1" x14ac:dyDescent="0.3">
      <c r="A6" s="2">
        <v>3</v>
      </c>
      <c r="B6" s="3" t="s">
        <v>27</v>
      </c>
      <c r="C6" s="3" t="s">
        <v>28</v>
      </c>
      <c r="D6" s="3" t="s">
        <v>29</v>
      </c>
      <c r="E6" s="4" t="s">
        <v>30</v>
      </c>
      <c r="F6" s="4" t="s">
        <v>31</v>
      </c>
      <c r="G6" s="2">
        <v>4</v>
      </c>
      <c r="H6" s="2">
        <v>4</v>
      </c>
      <c r="I6" s="5">
        <f t="shared" si="0"/>
        <v>16</v>
      </c>
      <c r="J6" s="3" t="s">
        <v>32</v>
      </c>
      <c r="K6" s="3" t="s">
        <v>33</v>
      </c>
    </row>
    <row r="7" spans="1:11" ht="55.05" customHeight="1" x14ac:dyDescent="0.3">
      <c r="A7" s="2">
        <v>4</v>
      </c>
      <c r="B7" s="3" t="s">
        <v>34</v>
      </c>
      <c r="C7" s="3" t="s">
        <v>35</v>
      </c>
      <c r="D7" s="3" t="s">
        <v>36</v>
      </c>
      <c r="E7" s="4" t="s">
        <v>37</v>
      </c>
      <c r="F7" s="4" t="s">
        <v>38</v>
      </c>
      <c r="G7" s="2">
        <v>2</v>
      </c>
      <c r="H7" s="2">
        <v>4</v>
      </c>
      <c r="I7" s="6">
        <f t="shared" si="0"/>
        <v>8</v>
      </c>
      <c r="J7" s="3" t="s">
        <v>39</v>
      </c>
      <c r="K7" s="3" t="s">
        <v>40</v>
      </c>
    </row>
    <row r="8" spans="1:11" ht="55.05" customHeight="1" x14ac:dyDescent="0.3">
      <c r="A8" s="2">
        <v>5</v>
      </c>
      <c r="B8" s="3" t="s">
        <v>41</v>
      </c>
      <c r="C8" s="3" t="s">
        <v>42</v>
      </c>
      <c r="D8" s="3" t="s">
        <v>43</v>
      </c>
      <c r="E8" s="4" t="s">
        <v>44</v>
      </c>
      <c r="F8" s="4" t="s">
        <v>45</v>
      </c>
      <c r="G8" s="2">
        <v>4</v>
      </c>
      <c r="H8" s="2">
        <v>3</v>
      </c>
      <c r="I8" s="5">
        <f t="shared" si="0"/>
        <v>12</v>
      </c>
      <c r="J8" s="3" t="s">
        <v>46</v>
      </c>
      <c r="K8" s="3" t="s">
        <v>47</v>
      </c>
    </row>
    <row r="9" spans="1:11" ht="55.05" customHeight="1" x14ac:dyDescent="0.3">
      <c r="A9" s="2">
        <v>6</v>
      </c>
      <c r="B9" s="3" t="s">
        <v>48</v>
      </c>
      <c r="C9" s="3" t="s">
        <v>49</v>
      </c>
      <c r="D9" s="3" t="s">
        <v>50</v>
      </c>
      <c r="E9" s="4" t="s">
        <v>37</v>
      </c>
      <c r="F9" s="4" t="s">
        <v>51</v>
      </c>
      <c r="G9" s="2">
        <v>2</v>
      </c>
      <c r="H9" s="2">
        <v>5</v>
      </c>
      <c r="I9" s="6">
        <f t="shared" si="0"/>
        <v>10</v>
      </c>
      <c r="J9" s="3" t="s">
        <v>52</v>
      </c>
      <c r="K9" s="3" t="s">
        <v>53</v>
      </c>
    </row>
    <row r="10" spans="1:11" ht="55.05" customHeight="1" x14ac:dyDescent="0.3">
      <c r="A10" s="2">
        <v>7</v>
      </c>
      <c r="B10" s="3" t="s">
        <v>54</v>
      </c>
      <c r="C10" s="3" t="s">
        <v>55</v>
      </c>
      <c r="D10" s="3" t="s">
        <v>56</v>
      </c>
      <c r="E10" s="4" t="s">
        <v>57</v>
      </c>
      <c r="F10" s="4" t="s">
        <v>58</v>
      </c>
      <c r="G10" s="2">
        <v>3</v>
      </c>
      <c r="H10" s="2">
        <v>3</v>
      </c>
      <c r="I10" s="6">
        <f t="shared" si="0"/>
        <v>9</v>
      </c>
      <c r="J10" s="3" t="s">
        <v>59</v>
      </c>
      <c r="K10" s="3" t="s">
        <v>60</v>
      </c>
    </row>
    <row r="11" spans="1:11" ht="55.05" customHeight="1" x14ac:dyDescent="0.3">
      <c r="A11" s="2">
        <v>8</v>
      </c>
      <c r="B11" s="3" t="s">
        <v>61</v>
      </c>
      <c r="C11" s="3" t="s">
        <v>62</v>
      </c>
      <c r="D11" s="3" t="s">
        <v>63</v>
      </c>
      <c r="E11" s="4" t="s">
        <v>64</v>
      </c>
      <c r="F11" s="4" t="s">
        <v>65</v>
      </c>
      <c r="G11" s="2">
        <v>3</v>
      </c>
      <c r="H11" s="2">
        <v>3</v>
      </c>
      <c r="I11" s="6">
        <f t="shared" si="0"/>
        <v>9</v>
      </c>
      <c r="J11" s="3" t="s">
        <v>66</v>
      </c>
      <c r="K11" s="3" t="s">
        <v>67</v>
      </c>
    </row>
    <row r="12" spans="1:11" ht="30" customHeight="1" x14ac:dyDescent="0.3">
      <c r="A12" s="9" t="s">
        <v>68</v>
      </c>
      <c r="B12" s="10"/>
      <c r="C12" s="10"/>
      <c r="D12" s="10"/>
      <c r="E12" s="10"/>
      <c r="F12" s="10"/>
      <c r="G12" s="10"/>
      <c r="H12" s="10"/>
      <c r="I12" s="7">
        <f>SUM(I4:I11)</f>
        <v>88</v>
      </c>
      <c r="J12" s="11" t="s">
        <v>69</v>
      </c>
      <c r="K12" s="10"/>
    </row>
    <row r="14" spans="1:11" x14ac:dyDescent="0.3">
      <c r="B14" s="14" t="s">
        <v>70</v>
      </c>
      <c r="C14" s="13"/>
      <c r="E14" s="14" t="s">
        <v>71</v>
      </c>
      <c r="F14" s="13"/>
    </row>
    <row r="15" spans="1:11" x14ac:dyDescent="0.3">
      <c r="B15" s="8" t="s">
        <v>72</v>
      </c>
      <c r="C15" s="8" t="s">
        <v>73</v>
      </c>
      <c r="E15" s="8" t="s">
        <v>72</v>
      </c>
      <c r="F15" s="8" t="s">
        <v>74</v>
      </c>
    </row>
    <row r="16" spans="1:11" x14ac:dyDescent="0.3">
      <c r="B16" s="8" t="s">
        <v>75</v>
      </c>
      <c r="C16" s="8" t="s">
        <v>76</v>
      </c>
      <c r="E16" s="8" t="s">
        <v>75</v>
      </c>
      <c r="F16" s="8" t="s">
        <v>77</v>
      </c>
    </row>
    <row r="17" spans="2:6" x14ac:dyDescent="0.3">
      <c r="B17" s="8" t="s">
        <v>78</v>
      </c>
      <c r="C17" s="8" t="s">
        <v>79</v>
      </c>
      <c r="E17" s="8" t="s">
        <v>78</v>
      </c>
      <c r="F17" s="8" t="s">
        <v>80</v>
      </c>
    </row>
    <row r="18" spans="2:6" x14ac:dyDescent="0.3">
      <c r="B18" s="8" t="s">
        <v>81</v>
      </c>
      <c r="C18" s="8" t="s">
        <v>82</v>
      </c>
      <c r="E18" s="8" t="s">
        <v>81</v>
      </c>
      <c r="F18" s="8" t="s">
        <v>83</v>
      </c>
    </row>
    <row r="19" spans="2:6" x14ac:dyDescent="0.3">
      <c r="B19" s="8" t="s">
        <v>84</v>
      </c>
      <c r="C19" s="8" t="s">
        <v>85</v>
      </c>
      <c r="E19" s="8" t="s">
        <v>84</v>
      </c>
      <c r="F19" s="8" t="s">
        <v>86</v>
      </c>
    </row>
  </sheetData>
  <mergeCells count="6">
    <mergeCell ref="A1:K1"/>
    <mergeCell ref="A12:H12"/>
    <mergeCell ref="J12:K12"/>
    <mergeCell ref="A2:K2"/>
    <mergeCell ref="B14:C14"/>
    <mergeCell ref="E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Pranjal Singh</cp:lastModifiedBy>
  <dcterms:created xsi:type="dcterms:W3CDTF">2026-08-20T14:39:22Z</dcterms:created>
  <dcterms:modified xsi:type="dcterms:W3CDTF">2026-08-20T16:24:42Z</dcterms:modified>
</cp:coreProperties>
</file>